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Burn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del proyecto (26/10 – 21/11/2026)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'Burndown'!$A$3:$A$29</f>
            </numRef>
          </cat>
          <val>
            <numRef>
              <f>'Burndown'!$C$3:$C$29</f>
            </numRef>
          </val>
        </ser>
        <ser>
          <idx val="1"/>
          <order val="1"/>
          <tx>
            <strRef>
              <f>'Burndown'!D2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'Burndown'!$A$3:$A$29</f>
            </numRef>
          </cat>
          <val>
            <numRef>
              <f>'Burndown'!$D$3:$D$29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pendientes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10" customWidth="1" min="4" max="4"/>
    <col width="10" customWidth="1" min="5" max="5"/>
    <col width="10" customWidth="1" min="6" max="6"/>
    <col width="18" customWidth="1" min="7" max="7"/>
    <col width="28" customWidth="1" min="8" max="8"/>
    <col width="1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Historia</t>
        </is>
      </c>
      <c r="C1" s="1" t="inlineStr">
        <is>
          <t>Como… quiero… para…</t>
        </is>
      </c>
      <c r="D1" s="1" t="inlineStr">
        <is>
          <t>Prioridad</t>
        </is>
      </c>
      <c r="E1" s="1" t="inlineStr">
        <is>
          <t>Puntos (propuesta)</t>
        </is>
      </c>
      <c r="F1" s="1" t="inlineStr">
        <is>
          <t>Sprint (propuesto)</t>
        </is>
      </c>
      <c r="G1" s="1" t="inlineStr">
        <is>
          <t>Dependencias</t>
        </is>
      </c>
      <c r="H1" s="1" t="inlineStr">
        <is>
          <t>Requisitos</t>
        </is>
      </c>
      <c r="I1" s="1" t="inlineStr">
        <is>
          <t>Caso de uso</t>
        </is>
      </c>
      <c r="J1" s="1" t="inlineStr">
        <is>
          <t>Estado</t>
        </is>
      </c>
    </row>
    <row r="2">
      <c r="A2" s="2" t="inlineStr">
        <is>
          <t>US-007</t>
        </is>
      </c>
      <c r="B2" s="2" t="inlineStr">
        <is>
          <t>Iniciar sesión según rol</t>
        </is>
      </c>
      <c r="C2" s="2" t="inlineStr">
        <is>
          <t>Como usuario del sistema, quiero iniciar sesión con mis credenciales, para acceder solo a las funciones de mi rol.</t>
        </is>
      </c>
      <c r="D2" s="2" t="inlineStr">
        <is>
          <t>Alta</t>
        </is>
      </c>
      <c r="E2" s="2" t="n">
        <v>3</v>
      </c>
      <c r="F2" s="2" t="n">
        <v>1</v>
      </c>
      <c r="G2" s="2" t="inlineStr">
        <is>
          <t>RF-007</t>
        </is>
      </c>
      <c r="H2" s="2" t="inlineStr">
        <is>
          <t>RF-007, RNF-001, RNF-002</t>
        </is>
      </c>
      <c r="I2" s="2" t="inlineStr">
        <is>
          <t>CU-001</t>
        </is>
      </c>
      <c r="J2" s="2" t="inlineStr">
        <is>
          <t>Propuesta</t>
        </is>
      </c>
    </row>
    <row r="3">
      <c r="A3" s="2" t="inlineStr">
        <is>
          <t>US-001</t>
        </is>
      </c>
      <c r="B3" s="2" t="inlineStr">
        <is>
          <t>Registrar ingreso de vehículo</t>
        </is>
      </c>
      <c r="C3" s="2" t="inlineStr">
        <is>
          <t>Como guarda de seguridad, quiero registrar el ingreso de un vehículo, para dejar constancia de quién entró y a qué hora.</t>
        </is>
      </c>
      <c r="D3" s="2" t="inlineStr">
        <is>
          <t>Alta</t>
        </is>
      </c>
      <c r="E3" s="2" t="n">
        <v>3</v>
      </c>
      <c r="F3" s="2" t="n">
        <v>1</v>
      </c>
      <c r="G3" s="2" t="inlineStr">
        <is>
          <t>US-007, US-003</t>
        </is>
      </c>
      <c r="H3" s="2" t="inlineStr">
        <is>
          <t>RF-001, RNF-001, RNF-003, RNF-005</t>
        </is>
      </c>
      <c r="I3" s="2" t="inlineStr">
        <is>
          <t>CU-002</t>
        </is>
      </c>
      <c r="J3" s="2" t="inlineStr">
        <is>
          <t>Propuesta</t>
        </is>
      </c>
    </row>
    <row r="4">
      <c r="A4" s="2" t="inlineStr">
        <is>
          <t>US-002</t>
        </is>
      </c>
      <c r="B4" s="2" t="inlineStr">
        <is>
          <t>Registrar salida de vehículo</t>
        </is>
      </c>
      <c r="C4" s="2" t="inlineStr">
        <is>
          <t>Como guarda de seguridad, quiero registrar la salida de un vehículo, para cerrar el ciclo del registro de ingreso.</t>
        </is>
      </c>
      <c r="D4" s="2" t="inlineStr">
        <is>
          <t>Alta</t>
        </is>
      </c>
      <c r="E4" s="2" t="n">
        <v>3</v>
      </c>
      <c r="F4" s="2" t="n">
        <v>2</v>
      </c>
      <c r="G4" s="2" t="inlineStr">
        <is>
          <t>US-001</t>
        </is>
      </c>
      <c r="H4" s="2" t="inlineStr">
        <is>
          <t>RF-002, RNF-006</t>
        </is>
      </c>
      <c r="I4" s="2" t="inlineStr">
        <is>
          <t>CU-003</t>
        </is>
      </c>
      <c r="J4" s="2" t="inlineStr">
        <is>
          <t>Propuesta</t>
        </is>
      </c>
    </row>
    <row r="5">
      <c r="A5" s="2" t="inlineStr">
        <is>
          <t>US-003</t>
        </is>
      </c>
      <c r="B5" s="2" t="inlineStr">
        <is>
          <t>Gestionar vehículos de residentes y propietarios</t>
        </is>
      </c>
      <c r="C5" s="2" t="inlineStr">
        <is>
          <t>Como administrador, quiero registrar, consultar y actualizar vehículos, para identificar los vehículos autorizados.</t>
        </is>
      </c>
      <c r="D5" s="2" t="inlineStr">
        <is>
          <t>Alta</t>
        </is>
      </c>
      <c r="E5" s="2" t="n">
        <v>5</v>
      </c>
      <c r="F5" s="2" t="n">
        <v>1</v>
      </c>
      <c r="G5" s="2" t="inlineStr">
        <is>
          <t>US-007</t>
        </is>
      </c>
      <c r="H5" s="2" t="inlineStr">
        <is>
          <t>RF-003</t>
        </is>
      </c>
      <c r="I5" s="2" t="inlineStr">
        <is>
          <t>CU-004</t>
        </is>
      </c>
      <c r="J5" s="2" t="inlineStr">
        <is>
          <t>Propuesta</t>
        </is>
      </c>
    </row>
    <row r="6">
      <c r="A6" s="2" t="inlineStr">
        <is>
          <t>US-006</t>
        </is>
      </c>
      <c r="B6" s="2" t="inlineStr">
        <is>
          <t>Consultar historial de accesos</t>
        </is>
      </c>
      <c r="C6" s="2" t="inlineStr">
        <is>
          <t>Como administrador, quiero filtrar los accesos por fecha y placa, para tener información histórica y trazable.</t>
        </is>
      </c>
      <c r="D6" s="2" t="inlineStr">
        <is>
          <t>Alta</t>
        </is>
      </c>
      <c r="E6" s="2" t="n">
        <v>3</v>
      </c>
      <c r="F6" s="2" t="n">
        <v>2</v>
      </c>
      <c r="G6" s="2" t="inlineStr">
        <is>
          <t>US-001, US-002</t>
        </is>
      </c>
      <c r="H6" s="2" t="inlineStr">
        <is>
          <t>RF-006, RNF-006</t>
        </is>
      </c>
      <c r="I6" s="2" t="inlineStr">
        <is>
          <t>CU-007</t>
        </is>
      </c>
      <c r="J6" s="2" t="inlineStr">
        <is>
          <t>Propuesta</t>
        </is>
      </c>
    </row>
    <row r="7">
      <c r="A7" s="2" t="inlineStr">
        <is>
          <t>US-004</t>
        </is>
      </c>
      <c r="B7" s="2" t="inlineStr">
        <is>
          <t>Autorizar y registrar visita con vehículo</t>
        </is>
      </c>
      <c r="C7" s="2" t="inlineStr">
        <is>
          <t>Como administrador, quiero registrar la autorización de una visita, para controlar los visitantes al momento del ingreso.</t>
        </is>
      </c>
      <c r="D7" s="2" t="inlineStr">
        <is>
          <t>Media</t>
        </is>
      </c>
      <c r="E7" s="2" t="n">
        <v>5</v>
      </c>
      <c r="F7" s="2" t="n">
        <v>2</v>
      </c>
      <c r="G7" s="2" t="inlineStr">
        <is>
          <t>US-001, US-007</t>
        </is>
      </c>
      <c r="H7" s="2" t="inlineStr">
        <is>
          <t>RF-004</t>
        </is>
      </c>
      <c r="I7" s="2" t="inlineStr">
        <is>
          <t>CU-005</t>
        </is>
      </c>
      <c r="J7" s="2" t="inlineStr">
        <is>
          <t>Propuesta</t>
        </is>
      </c>
    </row>
    <row r="8">
      <c r="A8" s="2" t="inlineStr">
        <is>
          <t>US-009</t>
        </is>
      </c>
      <c r="B8" s="2" t="inlineStr">
        <is>
          <t>Asignar parqueadero a un vehículo</t>
        </is>
      </c>
      <c r="C8" s="2" t="inlineStr">
        <is>
          <t>Como administrador, quiero asignar un parqueadero a un vehículo, para tener claridad sobre qué espacio corresponde a cada vehículo.</t>
        </is>
      </c>
      <c r="D8" s="2" t="inlineStr">
        <is>
          <t>Media</t>
        </is>
      </c>
      <c r="E8" s="2" t="n">
        <v>5</v>
      </c>
      <c r="F8" s="2" t="n">
        <v>3</v>
      </c>
      <c r="G8" s="2" t="inlineStr">
        <is>
          <t>US-003</t>
        </is>
      </c>
      <c r="H8" s="2" t="inlineStr">
        <is>
          <t>RF-009</t>
        </is>
      </c>
      <c r="I8" s="2" t="inlineStr">
        <is>
          <t>CU-008</t>
        </is>
      </c>
      <c r="J8" s="2" t="inlineStr">
        <is>
          <t>Propuesta</t>
        </is>
      </c>
    </row>
    <row r="9">
      <c r="A9" s="2" t="inlineStr">
        <is>
          <t>US-005</t>
        </is>
      </c>
      <c r="B9" s="2" t="inlineStr">
        <is>
          <t>Consultar disponibilidad de parqueaderos</t>
        </is>
      </c>
      <c r="C9" s="2" t="inlineStr">
        <is>
          <t>Como guarda de seguridad, quiero ver cuántos parqueaderos están libres, para orientar al conductor sin demoras.</t>
        </is>
      </c>
      <c r="D9" s="2" t="inlineStr">
        <is>
          <t>Media</t>
        </is>
      </c>
      <c r="E9" s="2" t="n">
        <v>3</v>
      </c>
      <c r="F9" s="2" t="n">
        <v>3</v>
      </c>
      <c r="G9" s="2" t="inlineStr">
        <is>
          <t>US-009</t>
        </is>
      </c>
      <c r="H9" s="2" t="inlineStr">
        <is>
          <t>RF-005</t>
        </is>
      </c>
      <c r="I9" s="2" t="inlineStr">
        <is>
          <t>CU-006</t>
        </is>
      </c>
      <c r="J9" s="2" t="inlineStr">
        <is>
          <t>Propuesta</t>
        </is>
      </c>
    </row>
    <row r="10">
      <c r="A10" s="2" t="inlineStr">
        <is>
          <t>US-008</t>
        </is>
      </c>
      <c r="B10" s="2" t="inlineStr">
        <is>
          <t>Cerrar sesión y proteger la sesión expirada</t>
        </is>
      </c>
      <c r="C10" s="2" t="inlineStr">
        <is>
          <t>Como usuario del sistema, quiero cerrar sesión o que esta expire, para proteger las operaciones del sistema.</t>
        </is>
      </c>
      <c r="D10" s="2" t="inlineStr">
        <is>
          <t>Media</t>
        </is>
      </c>
      <c r="E10" s="2" t="n">
        <v>2</v>
      </c>
      <c r="F10" s="2" t="n">
        <v>3</v>
      </c>
      <c r="G10" s="2" t="inlineStr">
        <is>
          <t>US-007</t>
        </is>
      </c>
      <c r="H10" s="2" t="inlineStr">
        <is>
          <t>RF-008, RNF-001</t>
        </is>
      </c>
      <c r="I10" s="2" t="inlineStr">
        <is>
          <t>CU-010</t>
        </is>
      </c>
      <c r="J10" s="2" t="inlineStr">
        <is>
          <t>Propuesta</t>
        </is>
      </c>
    </row>
    <row r="11">
      <c r="A11" s="2" t="inlineStr">
        <is>
          <t>US-010</t>
        </is>
      </c>
      <c r="B11" s="2" t="inlineStr">
        <is>
          <t>Generar reporte de ingresos y salidas</t>
        </is>
      </c>
      <c r="C11" s="2" t="inlineStr">
        <is>
          <t>Como administrador, quiero generar un reporte por rango de fechas, para apoyar las decisiones de administración.</t>
        </is>
      </c>
      <c r="D11" s="2" t="inlineStr">
        <is>
          <t>Baja</t>
        </is>
      </c>
      <c r="E11" s="2" t="n">
        <v>5</v>
      </c>
      <c r="F11" s="2" t="n">
        <v>4</v>
      </c>
      <c r="G11" s="2" t="inlineStr">
        <is>
          <t>US-006</t>
        </is>
      </c>
      <c r="H11" s="2" t="inlineStr">
        <is>
          <t>RF-010</t>
        </is>
      </c>
      <c r="I11" s="2" t="inlineStr">
        <is>
          <t>CU-009</t>
        </is>
      </c>
      <c r="J11" s="2" t="inlineStr">
        <is>
          <t>Propuesta</t>
        </is>
      </c>
    </row>
    <row r="12">
      <c r="D12" s="3" t="inlineStr">
        <is>
          <t>Total</t>
        </is>
      </c>
      <c r="E12" s="3">
        <f>SUM(E2:E11)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4" customWidth="1" min="4" max="4"/>
    <col width="9" customWidth="1" min="5" max="5"/>
    <col width="14" customWidth="1" min="6" max="6"/>
  </cols>
  <sheetData>
    <row r="1">
      <c r="A1" s="1" t="inlineStr">
        <is>
          <t>Sprint</t>
        </is>
      </c>
      <c r="B1" s="1" t="inlineStr">
        <is>
          <t>Fechas</t>
        </is>
      </c>
      <c r="C1" s="1" t="inlineStr">
        <is>
          <t>ID</t>
        </is>
      </c>
      <c r="D1" s="1" t="inlineStr">
        <is>
          <t>Historia</t>
        </is>
      </c>
      <c r="E1" s="1" t="inlineStr">
        <is>
          <t>Puntos</t>
        </is>
      </c>
      <c r="F1" s="1" t="inlineStr">
        <is>
          <t>Estado</t>
        </is>
      </c>
    </row>
    <row r="2">
      <c r="A2" s="2" t="inlineStr">
        <is>
          <t>Sprint 1</t>
        </is>
      </c>
      <c r="B2" s="2" t="inlineStr">
        <is>
          <t>26/10/2026 – 01/11/2026</t>
        </is>
      </c>
      <c r="C2" s="2" t="inlineStr">
        <is>
          <t>US-007</t>
        </is>
      </c>
      <c r="D2" s="2" t="inlineStr">
        <is>
          <t>Iniciar sesión según rol</t>
        </is>
      </c>
      <c r="E2" s="2" t="n">
        <v>3</v>
      </c>
      <c r="F2" s="2" t="inlineStr">
        <is>
          <t>Por iniciar</t>
        </is>
      </c>
    </row>
    <row r="3">
      <c r="A3" s="2" t="inlineStr">
        <is>
          <t>Sprint 1</t>
        </is>
      </c>
      <c r="B3" s="2" t="inlineStr">
        <is>
          <t>26/10/2026 – 01/11/2026</t>
        </is>
      </c>
      <c r="C3" s="2" t="inlineStr">
        <is>
          <t>US-001</t>
        </is>
      </c>
      <c r="D3" s="2" t="inlineStr">
        <is>
          <t>Registrar ingreso de vehículo</t>
        </is>
      </c>
      <c r="E3" s="2" t="n">
        <v>3</v>
      </c>
      <c r="F3" s="2" t="inlineStr">
        <is>
          <t>Por iniciar</t>
        </is>
      </c>
    </row>
    <row r="4">
      <c r="A4" s="2" t="inlineStr">
        <is>
          <t>Sprint 1</t>
        </is>
      </c>
      <c r="B4" s="2" t="inlineStr">
        <is>
          <t>26/10/2026 – 01/11/2026</t>
        </is>
      </c>
      <c r="C4" s="2" t="inlineStr">
        <is>
          <t>US-003</t>
        </is>
      </c>
      <c r="D4" s="2" t="inlineStr">
        <is>
          <t>Gestionar vehículos de residentes y propietarios</t>
        </is>
      </c>
      <c r="E4" s="2" t="n">
        <v>5</v>
      </c>
      <c r="F4" s="2" t="inlineStr">
        <is>
          <t>Por iniciar</t>
        </is>
      </c>
    </row>
    <row r="5">
      <c r="A5" s="2" t="inlineStr">
        <is>
          <t>Sprint 2</t>
        </is>
      </c>
      <c r="B5" s="2" t="inlineStr">
        <is>
          <t>02/11/2026 – 08/11/2026</t>
        </is>
      </c>
      <c r="C5" s="2" t="inlineStr">
        <is>
          <t>US-002</t>
        </is>
      </c>
      <c r="D5" s="2" t="inlineStr">
        <is>
          <t>Registrar salida de vehículo</t>
        </is>
      </c>
      <c r="E5" s="2" t="n">
        <v>3</v>
      </c>
      <c r="F5" s="2" t="inlineStr">
        <is>
          <t>Por iniciar</t>
        </is>
      </c>
    </row>
    <row r="6">
      <c r="A6" s="2" t="inlineStr">
        <is>
          <t>Sprint 2</t>
        </is>
      </c>
      <c r="B6" s="2" t="inlineStr">
        <is>
          <t>02/11/2026 – 08/11/2026</t>
        </is>
      </c>
      <c r="C6" s="2" t="inlineStr">
        <is>
          <t>US-006</t>
        </is>
      </c>
      <c r="D6" s="2" t="inlineStr">
        <is>
          <t>Consultar historial de accesos</t>
        </is>
      </c>
      <c r="E6" s="2" t="n">
        <v>3</v>
      </c>
      <c r="F6" s="2" t="inlineStr">
        <is>
          <t>Por iniciar</t>
        </is>
      </c>
    </row>
    <row r="7">
      <c r="A7" s="2" t="inlineStr">
        <is>
          <t>Sprint 2</t>
        </is>
      </c>
      <c r="B7" s="2" t="inlineStr">
        <is>
          <t>02/11/2026 – 08/11/2026</t>
        </is>
      </c>
      <c r="C7" s="2" t="inlineStr">
        <is>
          <t>US-004</t>
        </is>
      </c>
      <c r="D7" s="2" t="inlineStr">
        <is>
          <t>Autorizar y registrar visita con vehículo</t>
        </is>
      </c>
      <c r="E7" s="2" t="n">
        <v>5</v>
      </c>
      <c r="F7" s="2" t="inlineStr">
        <is>
          <t>Por iniciar</t>
        </is>
      </c>
    </row>
    <row r="8">
      <c r="A8" s="2" t="inlineStr">
        <is>
          <t>Sprint 3</t>
        </is>
      </c>
      <c r="B8" s="2" t="inlineStr">
        <is>
          <t>09/11/2026 – 15/11/2026</t>
        </is>
      </c>
      <c r="C8" s="2" t="inlineStr">
        <is>
          <t>US-009</t>
        </is>
      </c>
      <c r="D8" s="2" t="inlineStr">
        <is>
          <t>Asignar parqueadero a un vehículo</t>
        </is>
      </c>
      <c r="E8" s="2" t="n">
        <v>5</v>
      </c>
      <c r="F8" s="2" t="inlineStr">
        <is>
          <t>Por iniciar</t>
        </is>
      </c>
    </row>
    <row r="9">
      <c r="A9" s="2" t="inlineStr">
        <is>
          <t>Sprint 3</t>
        </is>
      </c>
      <c r="B9" s="2" t="inlineStr">
        <is>
          <t>09/11/2026 – 15/11/2026</t>
        </is>
      </c>
      <c r="C9" s="2" t="inlineStr">
        <is>
          <t>US-005</t>
        </is>
      </c>
      <c r="D9" s="2" t="inlineStr">
        <is>
          <t>Consultar disponibilidad de parqueaderos</t>
        </is>
      </c>
      <c r="E9" s="2" t="n">
        <v>3</v>
      </c>
      <c r="F9" s="2" t="inlineStr">
        <is>
          <t>Por iniciar</t>
        </is>
      </c>
    </row>
    <row r="10">
      <c r="A10" s="2" t="inlineStr">
        <is>
          <t>Sprint 3</t>
        </is>
      </c>
      <c r="B10" s="2" t="inlineStr">
        <is>
          <t>09/11/2026 – 15/11/2026</t>
        </is>
      </c>
      <c r="C10" s="2" t="inlineStr">
        <is>
          <t>US-008</t>
        </is>
      </c>
      <c r="D10" s="2" t="inlineStr">
        <is>
          <t>Cerrar sesión y proteger la sesión expirada</t>
        </is>
      </c>
      <c r="E10" s="2" t="n">
        <v>2</v>
      </c>
      <c r="F10" s="2" t="inlineStr">
        <is>
          <t>Por iniciar</t>
        </is>
      </c>
    </row>
    <row r="11">
      <c r="A11" s="2" t="inlineStr">
        <is>
          <t>Sprint 4</t>
        </is>
      </c>
      <c r="B11" s="2" t="inlineStr">
        <is>
          <t>16/11/2026 – 21/11/2026</t>
        </is>
      </c>
      <c r="C11" s="2" t="inlineStr">
        <is>
          <t>US-010</t>
        </is>
      </c>
      <c r="D11" s="2" t="inlineStr">
        <is>
          <t>Generar reporte de ingresos y salidas</t>
        </is>
      </c>
      <c r="E11" s="2" t="n">
        <v>5</v>
      </c>
      <c r="F11" s="2" t="inlineStr">
        <is>
          <t>Por iniciar</t>
        </is>
      </c>
    </row>
    <row r="13">
      <c r="A13" t="inlineStr">
        <is>
          <t>Nota: distribución propuesta, sujeta a acuerdo del equipo. El Sprint 4 incluye pruebas e integración además de las historias listadas.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t="inlineStr">
        <is>
          <t>Burndown global (puntos). La columna «Real» se diligencia al cierre de cada día con los puntos pendientes; está vacía porque aún no hay datos reales.</t>
        </is>
      </c>
    </row>
    <row r="2">
      <c r="A2" s="4" t="inlineStr">
        <is>
          <t>Día</t>
        </is>
      </c>
      <c r="B2" s="4" t="inlineStr">
        <is>
          <t>Fecha</t>
        </is>
      </c>
      <c r="C2" s="4" t="inlineStr">
        <is>
          <t>Ideal</t>
        </is>
      </c>
      <c r="D2" s="4" t="inlineStr">
        <is>
          <t>Real</t>
        </is>
      </c>
    </row>
    <row r="3">
      <c r="A3" t="n">
        <v>0</v>
      </c>
      <c r="B3" s="5" t="n">
        <v>46321</v>
      </c>
      <c r="C3">
        <f>ROUND(37-37*A3/26,2)</f>
        <v/>
      </c>
    </row>
    <row r="4">
      <c r="A4" t="n">
        <v>1</v>
      </c>
      <c r="B4" s="5" t="n">
        <v>46322</v>
      </c>
      <c r="C4">
        <f>ROUND(37-37*A4/26,2)</f>
        <v/>
      </c>
    </row>
    <row r="5">
      <c r="A5" t="n">
        <v>2</v>
      </c>
      <c r="B5" s="5" t="n">
        <v>46323</v>
      </c>
      <c r="C5">
        <f>ROUND(37-37*A5/26,2)</f>
        <v/>
      </c>
    </row>
    <row r="6">
      <c r="A6" t="n">
        <v>3</v>
      </c>
      <c r="B6" s="5" t="n">
        <v>46324</v>
      </c>
      <c r="C6">
        <f>ROUND(37-37*A6/26,2)</f>
        <v/>
      </c>
    </row>
    <row r="7">
      <c r="A7" t="n">
        <v>4</v>
      </c>
      <c r="B7" s="5" t="n">
        <v>46325</v>
      </c>
      <c r="C7">
        <f>ROUND(37-37*A7/26,2)</f>
        <v/>
      </c>
    </row>
    <row r="8">
      <c r="A8" t="n">
        <v>5</v>
      </c>
      <c r="B8" s="5" t="n">
        <v>46326</v>
      </c>
      <c r="C8">
        <f>ROUND(37-37*A8/26,2)</f>
        <v/>
      </c>
    </row>
    <row r="9">
      <c r="A9" t="n">
        <v>6</v>
      </c>
      <c r="B9" s="5" t="n">
        <v>46327</v>
      </c>
      <c r="C9">
        <f>ROUND(37-37*A9/26,2)</f>
        <v/>
      </c>
    </row>
    <row r="10">
      <c r="A10" t="n">
        <v>7</v>
      </c>
      <c r="B10" s="5" t="n">
        <v>46328</v>
      </c>
      <c r="C10">
        <f>ROUND(37-37*A10/26,2)</f>
        <v/>
      </c>
    </row>
    <row r="11">
      <c r="A11" t="n">
        <v>8</v>
      </c>
      <c r="B11" s="5" t="n">
        <v>46329</v>
      </c>
      <c r="C11">
        <f>ROUND(37-37*A11/26,2)</f>
        <v/>
      </c>
    </row>
    <row r="12">
      <c r="A12" t="n">
        <v>9</v>
      </c>
      <c r="B12" s="5" t="n">
        <v>46330</v>
      </c>
      <c r="C12">
        <f>ROUND(37-37*A12/26,2)</f>
        <v/>
      </c>
    </row>
    <row r="13">
      <c r="A13" t="n">
        <v>10</v>
      </c>
      <c r="B13" s="5" t="n">
        <v>46331</v>
      </c>
      <c r="C13">
        <f>ROUND(37-37*A13/26,2)</f>
        <v/>
      </c>
    </row>
    <row r="14">
      <c r="A14" t="n">
        <v>11</v>
      </c>
      <c r="B14" s="5" t="n">
        <v>46332</v>
      </c>
      <c r="C14">
        <f>ROUND(37-37*A14/26,2)</f>
        <v/>
      </c>
    </row>
    <row r="15">
      <c r="A15" t="n">
        <v>12</v>
      </c>
      <c r="B15" s="5" t="n">
        <v>46333</v>
      </c>
      <c r="C15">
        <f>ROUND(37-37*A15/26,2)</f>
        <v/>
      </c>
    </row>
    <row r="16">
      <c r="A16" t="n">
        <v>13</v>
      </c>
      <c r="B16" s="5" t="n">
        <v>46334</v>
      </c>
      <c r="C16">
        <f>ROUND(37-37*A16/26,2)</f>
        <v/>
      </c>
    </row>
    <row r="17">
      <c r="A17" t="n">
        <v>14</v>
      </c>
      <c r="B17" s="5" t="n">
        <v>46335</v>
      </c>
      <c r="C17">
        <f>ROUND(37-37*A17/26,2)</f>
        <v/>
      </c>
    </row>
    <row r="18">
      <c r="A18" t="n">
        <v>15</v>
      </c>
      <c r="B18" s="5" t="n">
        <v>46336</v>
      </c>
      <c r="C18">
        <f>ROUND(37-37*A18/26,2)</f>
        <v/>
      </c>
    </row>
    <row r="19">
      <c r="A19" t="n">
        <v>16</v>
      </c>
      <c r="B19" s="5" t="n">
        <v>46337</v>
      </c>
      <c r="C19">
        <f>ROUND(37-37*A19/26,2)</f>
        <v/>
      </c>
    </row>
    <row r="20">
      <c r="A20" t="n">
        <v>17</v>
      </c>
      <c r="B20" s="5" t="n">
        <v>46338</v>
      </c>
      <c r="C20">
        <f>ROUND(37-37*A20/26,2)</f>
        <v/>
      </c>
    </row>
    <row r="21">
      <c r="A21" t="n">
        <v>18</v>
      </c>
      <c r="B21" s="5" t="n">
        <v>46339</v>
      </c>
      <c r="C21">
        <f>ROUND(37-37*A21/26,2)</f>
        <v/>
      </c>
    </row>
    <row r="22">
      <c r="A22" t="n">
        <v>19</v>
      </c>
      <c r="B22" s="5" t="n">
        <v>46340</v>
      </c>
      <c r="C22">
        <f>ROUND(37-37*A22/26,2)</f>
        <v/>
      </c>
    </row>
    <row r="23">
      <c r="A23" t="n">
        <v>20</v>
      </c>
      <c r="B23" s="5" t="n">
        <v>46341</v>
      </c>
      <c r="C23">
        <f>ROUND(37-37*A23/26,2)</f>
        <v/>
      </c>
    </row>
    <row r="24">
      <c r="A24" t="n">
        <v>21</v>
      </c>
      <c r="B24" s="5" t="n">
        <v>46342</v>
      </c>
      <c r="C24">
        <f>ROUND(37-37*A24/26,2)</f>
        <v/>
      </c>
    </row>
    <row r="25">
      <c r="A25" t="n">
        <v>22</v>
      </c>
      <c r="B25" s="5" t="n">
        <v>46343</v>
      </c>
      <c r="C25">
        <f>ROUND(37-37*A25/26,2)</f>
        <v/>
      </c>
    </row>
    <row r="26">
      <c r="A26" t="n">
        <v>23</v>
      </c>
      <c r="B26" s="5" t="n">
        <v>46344</v>
      </c>
      <c r="C26">
        <f>ROUND(37-37*A26/26,2)</f>
        <v/>
      </c>
    </row>
    <row r="27">
      <c r="A27" t="n">
        <v>24</v>
      </c>
      <c r="B27" s="5" t="n">
        <v>46345</v>
      </c>
      <c r="C27">
        <f>ROUND(37-37*A27/26,2)</f>
        <v/>
      </c>
    </row>
    <row r="28">
      <c r="A28" t="n">
        <v>25</v>
      </c>
      <c r="B28" s="5" t="n">
        <v>46346</v>
      </c>
      <c r="C28">
        <f>ROUND(37-37*A28/26,2)</f>
        <v/>
      </c>
    </row>
    <row r="29">
      <c r="A29" t="n">
        <v>26</v>
      </c>
      <c r="B29" s="5" t="n">
        <v>46347</v>
      </c>
      <c r="C29">
        <f>ROUND(37-37*A29/26,2)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2026-10-26T22:22:54Z</dcterms:created>
  <dcterms:modified xmlns:dcterms="http://purl.org/dc/terms/" xmlns:xsi="http://www.w3.org/2001/XMLSchema-instance" xsi:type="dcterms:W3CDTF">2026-10-26T22:22:54Z</dcterms:modified>
</cp:coreProperties>
</file>